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icox.sharepoint.com/sites/dpto.seguridad.defensa/Shared Documents/HPS/"/>
    </mc:Choice>
  </mc:AlternateContent>
  <xr:revisionPtr revIDLastSave="91" documentId="8_{5E1677E4-179C-4888-9646-1085226FBD2A}" xr6:coauthVersionLast="47" xr6:coauthVersionMax="47" xr10:uidLastSave="{DCD3A85A-404B-4344-A3BA-E0DA232589FB}"/>
  <bookViews>
    <workbookView xWindow="29910" yWindow="2490" windowWidth="21600" windowHeight="11235" xr2:uid="{00000000-000D-0000-FFFF-FFFF00000000}"/>
  </bookViews>
  <sheets>
    <sheet name="LISTADO DE PERSONAL CON HPS " sheetId="3" r:id="rId1"/>
  </sheets>
  <definedNames>
    <definedName name="_xlnm._FilterDatabase" localSheetId="0" hidden="1">'LISTADO DE PERSONAL CON HPS '!$A$1:$Z$2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3" l="1"/>
  <c r="S2" i="3"/>
  <c r="R2" i="3"/>
  <c r="Q2" i="3"/>
  <c r="P2" i="3"/>
  <c r="O2" i="3"/>
  <c r="M2" i="3"/>
  <c r="N2" i="3" l="1"/>
</calcChain>
</file>

<file path=xl/sharedStrings.xml><?xml version="1.0" encoding="utf-8"?>
<sst xmlns="http://schemas.openxmlformats.org/spreadsheetml/2006/main" count="39" uniqueCount="35">
  <si>
    <t>DNI</t>
  </si>
  <si>
    <t>NOMBRE</t>
  </si>
  <si>
    <t>PRIMER APELLIDO</t>
  </si>
  <si>
    <t>SEGUNDO APELLIDO</t>
  </si>
  <si>
    <t>CARGO</t>
  </si>
  <si>
    <t>GRADO HPS</t>
  </si>
  <si>
    <t>ESPECIALIDADES</t>
  </si>
  <si>
    <t>Fecha inicio solicitud</t>
  </si>
  <si>
    <t>Envio ONS</t>
  </si>
  <si>
    <t>Estado</t>
  </si>
  <si>
    <t>ORGANISMO</t>
  </si>
  <si>
    <t>CIF ORGANISMO</t>
  </si>
  <si>
    <t>código correcto</t>
  </si>
  <si>
    <t>CODIGO  AICOX</t>
  </si>
  <si>
    <t>FECHA CADUCIDAD</t>
  </si>
  <si>
    <t>TIPO Y GRADO</t>
  </si>
  <si>
    <t>OBSERVACIONES</t>
  </si>
  <si>
    <t>NUMERO DOCUMENTO HPS</t>
  </si>
  <si>
    <t>ESTDO DE LA HABILITACIÓN</t>
  </si>
  <si>
    <t>R,NS, UE-S, ESA-S</t>
  </si>
  <si>
    <t>en vigor (concedida)</t>
  </si>
  <si>
    <t>07234245D</t>
  </si>
  <si>
    <t>Angel</t>
  </si>
  <si>
    <t xml:space="preserve">Bonacasa </t>
  </si>
  <si>
    <t>Carrasco</t>
  </si>
  <si>
    <t>E-23-025707-AICOX-0196_23</t>
  </si>
  <si>
    <t>las casillas en amarillo son las que aparecen en el documento HPS con nombre E-aa-xxxx</t>
  </si>
  <si>
    <t>las casillas en naranja son las que aparecen en un excel que se genera al descargar los datos desde la plataforma Marga</t>
  </si>
  <si>
    <t>del documento del HPS no utilizo la fecha de otorgamiento de la HPS</t>
  </si>
  <si>
    <t xml:space="preserve">el código Aicox es un código que me invento con la primera cifra, la penultima cifra, la ultima cifra y la letra del DNI de la persona (por temas de protección oficial no debería aparecer en un mismo documento el DNI y el nombre y apellidos de una persona, y decimos que tenemos un fichero en el que sale el codigo Aicox y el DNI de la persona y otro documento que tiene el codigo aicox y todos los demas datos, nombre apellidos, etc, todo menos el DNI. </t>
  </si>
  <si>
    <t>Pero si en la plataforma no se muestra el dni de la persona, entiendo que nos podemos olvidar de esto</t>
  </si>
  <si>
    <t>si el código Aicox no está repetido, código correcto indica OK, si está repetido, tengo que modificar el codigo Aicox usando las dos primeras cifras, la ultima y la letra del DNI, pero eso no ha ocurrido nunca, hasta el momento.</t>
  </si>
  <si>
    <t>en la columna M indico si la solicitud de HPS está ok (en vigor)</t>
  </si>
  <si>
    <t>en la columna X indico si está en vigor (concedida), caducada, solicitada, en proceso de solicitud</t>
  </si>
  <si>
    <t>en la columna Y indico sila HPS está en vigor (concedida) ,si está a punto de caducar o no (en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</si>
</sst>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3" borderId="0" xfId="0" applyFont="1" applyFill="1" applyAlignment="1">
      <alignment horizontal="left" vertical="center"/>
    </xf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5C4558FB-E779-4F1B-8935-557D43820870}"/>
  </cellStyles>
  <dxfs count="2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9D1C-D671-4C8E-9427-2CFC1528AD72}">
  <sheetPr filterMode="1"/>
  <dimension ref="A1:AH15"/>
  <sheetViews>
    <sheetView tabSelected="1" zoomScale="80" zoomScaleNormal="80" workbookViewId="0">
      <pane ySplit="1" topLeftCell="A2" activePane="bottomLeft" state="frozen"/>
      <selection activeCell="M1" sqref="M1"/>
      <selection pane="bottomLeft" activeCell="A16" sqref="A16"/>
    </sheetView>
  </sheetViews>
  <sheetFormatPr baseColWidth="10" defaultColWidth="9.109375" defaultRowHeight="13.8" x14ac:dyDescent="0.3"/>
  <cols>
    <col min="1" max="1" width="12.88671875" style="9" customWidth="1"/>
    <col min="2" max="2" width="17.109375" style="3" customWidth="1"/>
    <col min="3" max="4" width="25" style="3" customWidth="1"/>
    <col min="5" max="5" width="69.5546875" style="3" customWidth="1"/>
    <col min="6" max="6" width="35.33203125" style="3" customWidth="1"/>
    <col min="7" max="7" width="25" style="3" customWidth="1"/>
    <col min="8" max="9" width="25" style="2" customWidth="1"/>
    <col min="10" max="12" width="25" style="3" customWidth="1"/>
    <col min="13" max="13" width="8.44140625" style="3" customWidth="1"/>
    <col min="14" max="14" width="11.88671875" style="2" customWidth="1"/>
    <col min="15" max="15" width="13.44140625" style="2" customWidth="1"/>
    <col min="16" max="16" width="12.88671875" style="2" customWidth="1"/>
    <col min="17" max="17" width="17.109375" style="3" customWidth="1"/>
    <col min="18" max="19" width="25" style="3" customWidth="1"/>
    <col min="20" max="20" width="13" style="2" customWidth="1"/>
    <col min="21" max="21" width="21" style="2" customWidth="1"/>
    <col min="22" max="22" width="25.33203125" style="2" customWidth="1"/>
    <col min="23" max="23" width="25.44140625" style="6" customWidth="1"/>
    <col min="24" max="24" width="22.109375" style="3" customWidth="1"/>
    <col min="25" max="25" width="26.88671875" style="3" customWidth="1"/>
    <col min="26" max="26" width="34.33203125" style="3" customWidth="1"/>
    <col min="27" max="27" width="24.44140625" style="3" bestFit="1" customWidth="1"/>
    <col min="28" max="28" width="22.33203125" style="3" customWidth="1"/>
    <col min="29" max="16384" width="9.109375" style="3"/>
  </cols>
  <sheetData>
    <row r="1" spans="1:34" ht="50.4" customHeigh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4" t="s">
        <v>12</v>
      </c>
      <c r="O1" s="4" t="s">
        <v>13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14</v>
      </c>
      <c r="U1" s="1" t="s">
        <v>15</v>
      </c>
      <c r="V1" s="4" t="s">
        <v>16</v>
      </c>
      <c r="W1" s="5" t="s">
        <v>17</v>
      </c>
      <c r="X1" s="4" t="s">
        <v>18</v>
      </c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s="8" customFormat="1" ht="61.8" customHeight="1" x14ac:dyDescent="0.3">
      <c r="A2" s="15" t="s">
        <v>21</v>
      </c>
      <c r="B2" s="17" t="s">
        <v>22</v>
      </c>
      <c r="C2" s="17" t="s">
        <v>23</v>
      </c>
      <c r="D2" s="17" t="s">
        <v>24</v>
      </c>
      <c r="E2" s="17"/>
      <c r="F2" s="17"/>
      <c r="G2" s="17"/>
      <c r="H2" s="18"/>
      <c r="I2" s="18"/>
      <c r="J2" s="17"/>
      <c r="K2" s="17"/>
      <c r="L2" s="17"/>
      <c r="M2" s="8" t="str">
        <f t="shared" ref="M2" si="0">IF(X2="en vigor (concedida)","OK", "KO")</f>
        <v>OK</v>
      </c>
      <c r="N2" s="7" t="str">
        <f>IFERROR(IF(_xlfn.XMATCH(O2,#REF!)&lt;1," ","error"),"OK")</f>
        <v>OK</v>
      </c>
      <c r="O2" s="7" t="str">
        <f t="shared" ref="O2" si="1">CONCATENATE(LEFT(A2,1),MID(A2,7,3))</f>
        <v>045D</v>
      </c>
      <c r="P2" s="11" t="str">
        <f t="shared" ref="P2" si="2">A2</f>
        <v>07234245D</v>
      </c>
      <c r="Q2" s="7" t="str">
        <f t="shared" ref="Q2" si="3">B2</f>
        <v>Angel</v>
      </c>
      <c r="R2" s="7" t="str">
        <f t="shared" ref="R2" si="4">C2</f>
        <v xml:space="preserve">Bonacasa </v>
      </c>
      <c r="S2" s="7" t="str">
        <f t="shared" ref="S2" si="5">D2</f>
        <v>Carrasco</v>
      </c>
      <c r="T2" s="12">
        <v>46932</v>
      </c>
      <c r="U2" s="11" t="s">
        <v>19</v>
      </c>
      <c r="V2" s="11"/>
      <c r="W2" s="13" t="s">
        <v>25</v>
      </c>
      <c r="X2" s="8" t="s">
        <v>20</v>
      </c>
      <c r="Y2" s="8" t="str">
        <f t="shared" ref="Y2" ca="1" si="6">IF(X2="en vigor (concedida)",IF(T2&lt;TODAY(),"caducada",IF(T2-TODAY()&lt;365,"a punto de caducar","en vigor")),"-")</f>
        <v>en vigor</v>
      </c>
    </row>
    <row r="5" spans="1:34" x14ac:dyDescent="0.3">
      <c r="A5" s="13" t="s">
        <v>26</v>
      </c>
      <c r="B5" s="14"/>
      <c r="C5" s="14"/>
      <c r="D5" s="14"/>
      <c r="E5" s="3" t="s">
        <v>28</v>
      </c>
    </row>
    <row r="7" spans="1:34" x14ac:dyDescent="0.3">
      <c r="A7" s="15" t="s">
        <v>27</v>
      </c>
      <c r="B7" s="16"/>
      <c r="C7" s="16"/>
      <c r="D7" s="16"/>
      <c r="E7" s="16"/>
    </row>
    <row r="9" spans="1:34" x14ac:dyDescent="0.3">
      <c r="A9" s="9" t="s">
        <v>29</v>
      </c>
    </row>
    <row r="10" spans="1:34" x14ac:dyDescent="0.3">
      <c r="A10" s="9" t="s">
        <v>31</v>
      </c>
    </row>
    <row r="11" spans="1:34" x14ac:dyDescent="0.3">
      <c r="A11" s="9" t="s">
        <v>30</v>
      </c>
    </row>
    <row r="13" spans="1:34" x14ac:dyDescent="0.3">
      <c r="A13" s="9" t="s">
        <v>32</v>
      </c>
    </row>
    <row r="14" spans="1:34" x14ac:dyDescent="0.3">
      <c r="A14" s="9" t="s">
        <v>33</v>
      </c>
    </row>
    <row r="15" spans="1:34" x14ac:dyDescent="0.3">
      <c r="A15" s="9" t="s">
        <v>34</v>
      </c>
    </row>
  </sheetData>
  <autoFilter ref="A1:Z2" xr:uid="{C3FC9D1C-D671-4C8E-9427-2CFC1528AD72}">
    <filterColumn colId="24">
      <filters>
        <filter val="en vigor"/>
      </filters>
    </filterColumn>
  </autoFilter>
  <sortState xmlns:xlrd2="http://schemas.microsoft.com/office/spreadsheetml/2017/richdata2" ref="A2:AH2">
    <sortCondition ref="T2"/>
  </sortState>
  <phoneticPr fontId="4" type="noConversion"/>
  <conditionalFormatting sqref="M2">
    <cfRule type="cellIs" dxfId="1" priority="172" operator="equal">
      <formula>"KO"</formula>
    </cfRule>
    <cfRule type="colorScale" priority="173">
      <colorScale>
        <cfvo type="min"/>
        <cfvo type="max"/>
        <color rgb="FFFF7128"/>
        <color rgb="FFFFEF9C"/>
      </colorScale>
    </cfRule>
    <cfRule type="cellIs" dxfId="0" priority="174" operator="equal">
      <formula>"OK"</formula>
    </cfRule>
  </conditionalFormatting>
  <dataValidations count="1">
    <dataValidation type="list" allowBlank="1" showInputMessage="1" showErrorMessage="1" sqref="X1:X2" xr:uid="{60456EC9-E92D-41D3-918B-FA2F285E4B3E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5011fdb-fd52-4f3b-b983-e922873e347a">
      <UserInfo>
        <DisplayName>Azucena Gallego Sanchez</DisplayName>
        <AccountId>25</AccountId>
        <AccountType/>
      </UserInfo>
    </SharedWithUsers>
    <TaxCatchAll xmlns="45011fdb-fd52-4f3b-b983-e922873e347a" xsi:nil="true"/>
    <lcf76f155ced4ddcb4097134ff3c332f xmlns="f8d82e94-60ad-4c67-828a-588102b5e8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0479562179B44A7BB6F24D264F44B" ma:contentTypeVersion="17" ma:contentTypeDescription="Create a new document." ma:contentTypeScope="" ma:versionID="7772aeeaa7618cf2e5246fd29cca8bb8">
  <xsd:schema xmlns:xsd="http://www.w3.org/2001/XMLSchema" xmlns:xs="http://www.w3.org/2001/XMLSchema" xmlns:p="http://schemas.microsoft.com/office/2006/metadata/properties" xmlns:ns2="f8d82e94-60ad-4c67-828a-588102b5e87d" xmlns:ns3="45011fdb-fd52-4f3b-b983-e922873e347a" targetNamespace="http://schemas.microsoft.com/office/2006/metadata/properties" ma:root="true" ma:fieldsID="4cefe732cd91f520dde7c532c25c01f5" ns2:_="" ns3:_="">
    <xsd:import namespace="f8d82e94-60ad-4c67-828a-588102b5e87d"/>
    <xsd:import namespace="45011fdb-fd52-4f3b-b983-e922873e3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d82e94-60ad-4c67-828a-588102b5e8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472094d-d8a7-4ef6-bd4f-4b4883686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11fdb-fd52-4f3b-b983-e922873e34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f52bc2-b615-4aca-ac1b-676d5dd19476}" ma:internalName="TaxCatchAll" ma:showField="CatchAllData" ma:web="45011fdb-fd52-4f3b-b983-e922873e3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884790-EA51-4864-9910-EEA667F2D4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BCCF27-33E7-49F5-91B2-9D3AE3F21170}">
  <ds:schemaRefs>
    <ds:schemaRef ds:uri="http://schemas.microsoft.com/office/2006/metadata/properties"/>
    <ds:schemaRef ds:uri="http://schemas.microsoft.com/office/infopath/2007/PartnerControls"/>
    <ds:schemaRef ds:uri="45011fdb-fd52-4f3b-b983-e922873e347a"/>
    <ds:schemaRef ds:uri="f8d82e94-60ad-4c67-828a-588102b5e87d"/>
  </ds:schemaRefs>
</ds:datastoreItem>
</file>

<file path=customXml/itemProps3.xml><?xml version="1.0" encoding="utf-8"?>
<ds:datastoreItem xmlns:ds="http://schemas.openxmlformats.org/officeDocument/2006/customXml" ds:itemID="{F18CCF1A-5DE0-49D3-872A-993AD7DFFD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d82e94-60ad-4c67-828a-588102b5e87d"/>
    <ds:schemaRef ds:uri="45011fdb-fd52-4f3b-b983-e922873e34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PERSONAL CON HPS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Bonacasa</dc:creator>
  <cp:keywords/>
  <dc:description/>
  <cp:lastModifiedBy>Angel Bonacasa</cp:lastModifiedBy>
  <cp:revision/>
  <dcterms:created xsi:type="dcterms:W3CDTF">2015-06-05T18:19:34Z</dcterms:created>
  <dcterms:modified xsi:type="dcterms:W3CDTF">2025-10-03T13:01:28Z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0x010100C7B0479562179B44A7BB6F24D264F44B</vt:lpwstr>
  </property>
  <property fmtid="{D5CDD505-2E9C-101B-9397-08002B2CF9AE}" pid="3" name="MediaServiceImageTags">
    <vt:lpwstr/>
  </property>
</Properties>
</file>